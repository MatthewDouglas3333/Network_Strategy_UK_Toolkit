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laren-my.sharepoint.com/personal/matthew_douglas_mclaren_com/Documents/Desktop/Network Strategy Fixes - Clause/data/De-Distortions Registrations Task/"/>
    </mc:Choice>
  </mc:AlternateContent>
  <xr:revisionPtr revIDLastSave="14" documentId="13_ncr:1_{0FCAC3FB-E461-4DDC-B8D0-A6170449A72E}" xr6:coauthVersionLast="47" xr6:coauthVersionMax="47" xr10:uidLastSave="{7245045B-EBBF-4523-B1F2-8E37F0283DAA}"/>
  <bookViews>
    <workbookView xWindow="-110" yWindow="-110" windowWidth="19420" windowHeight="10300" xr2:uid="{B920BFEF-187E-4131-A1F8-C25F88579E1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<sst xmlns="http://schemas.openxmlformats.org/spreadsheetml/2006/main" count="58" uniqueCount="38">
  <si>
    <t>Retailer_Code</t>
  </si>
  <si>
    <t>Country</t>
  </si>
  <si>
    <t>Sub_Region</t>
  </si>
  <si>
    <t>Retailer_Type</t>
  </si>
  <si>
    <t>City</t>
  </si>
  <si>
    <t>Trading_Name</t>
  </si>
  <si>
    <t>Latitude</t>
  </si>
  <si>
    <t>Longitude</t>
  </si>
  <si>
    <t>20553A</t>
  </si>
  <si>
    <t>United Kingdom</t>
  </si>
  <si>
    <t>UK</t>
  </si>
  <si>
    <t>Full Sales and Service</t>
  </si>
  <si>
    <t>Ascot</t>
  </si>
  <si>
    <t>McLaren Ascot</t>
  </si>
  <si>
    <t>20008A</t>
  </si>
  <si>
    <t>Birmingham</t>
  </si>
  <si>
    <t>McLaren Birmingham</t>
  </si>
  <si>
    <t>20442A</t>
  </si>
  <si>
    <t>Glasgow</t>
  </si>
  <si>
    <t>McLaren Glasgow</t>
  </si>
  <si>
    <t>21062A</t>
  </si>
  <si>
    <t>Service Only</t>
  </si>
  <si>
    <t>Guildford</t>
  </si>
  <si>
    <t xml:space="preserve">McLaren Service Guildford </t>
  </si>
  <si>
    <t>20982A</t>
  </si>
  <si>
    <t>Hatfield</t>
  </si>
  <si>
    <t>McLaren Hatfield</t>
  </si>
  <si>
    <t>20989A</t>
  </si>
  <si>
    <t>Leeds</t>
  </si>
  <si>
    <t>McLaren Leeds</t>
  </si>
  <si>
    <t>20009A</t>
  </si>
  <si>
    <t>Manchester</t>
  </si>
  <si>
    <t>McLaren Manchester</t>
  </si>
  <si>
    <t>21022A</t>
  </si>
  <si>
    <t>New Forest</t>
  </si>
  <si>
    <t>McLaren New Forest</t>
  </si>
  <si>
    <t>Postcode</t>
  </si>
  <si>
    <t>KT24 6DG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</si>
</sst>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cLaren_Network_Development_Master_Template%202026.xlsm" TargetMode="External"/><Relationship Id="rId2" Type="http://schemas.openxmlformats.org/officeDocument/2006/relationships/externalLinkPath" Target="https://mclaren-my.sharepoint.com/personal/matthew_douglas_mclaren_com/Documents/Desktop/McLaren_Network_Development_Master_Template%202026.xlsm" TargetMode="External"/><Relationship Id="rId1" Type="http://schemas.openxmlformats.org/officeDocument/2006/relationships/externalLinkPath" Target="/personal/matthew_douglas_mclaren_com/Documents/Desktop/McLaren_Network_Development_Master_Template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UROPE"/>
      <sheetName val="MEAI"/>
      <sheetName val="AMERICAS"/>
      <sheetName val="APAC"/>
      <sheetName val="CHINA"/>
      <sheetName val="Terminations"/>
      <sheetName val="Ollie Task 2"/>
      <sheetName val="Primary Contact"/>
    </sheetNames>
    <sheetDataSet>
      <sheetData sheetId="0">
        <row r="1">
          <cell r="B1" t="str">
            <v>Retailer_Reporting_Name</v>
          </cell>
          <cell r="H1" t="str">
            <v xml:space="preserve">ZIP/ Postal code </v>
          </cell>
        </row>
        <row r="2">
          <cell r="B2" t="str">
            <v>McLaren Birmingham</v>
          </cell>
          <cell r="H2" t="str">
            <v>B94 5NH</v>
          </cell>
        </row>
        <row r="3">
          <cell r="B3" t="str">
            <v>McLaren Manchester</v>
          </cell>
          <cell r="H3" t="str">
            <v>SK9 3FB</v>
          </cell>
        </row>
        <row r="4">
          <cell r="B4" t="str">
            <v>McLaren Glasgow</v>
          </cell>
          <cell r="H4" t="str">
            <v>ML3 0AY</v>
          </cell>
        </row>
        <row r="5">
          <cell r="B5" t="str">
            <v>McLaren Ascot</v>
          </cell>
          <cell r="H5" t="str">
            <v>RG12 2TB</v>
          </cell>
        </row>
        <row r="6">
          <cell r="B6" t="str">
            <v>McLaren Hatfield</v>
          </cell>
          <cell r="H6" t="str">
            <v>AL10 9US</v>
          </cell>
        </row>
        <row r="7">
          <cell r="B7" t="str">
            <v>McLaren Leeds</v>
          </cell>
          <cell r="H7" t="str">
            <v>LS9 0AA</v>
          </cell>
        </row>
        <row r="8">
          <cell r="B8" t="str">
            <v>McLaren New Forest</v>
          </cell>
          <cell r="H8" t="str">
            <v>SO43 7JF</v>
          </cell>
        </row>
        <row r="9">
          <cell r="B9" t="str">
            <v>McLaren Service Guildford</v>
          </cell>
          <cell r="H9" t="str">
            <v>KT24 6DG</v>
          </cell>
        </row>
        <row r="10">
          <cell r="B10" t="str">
            <v>McLaren Petersfield</v>
          </cell>
          <cell r="H10" t="str">
            <v>GU31 4BQ</v>
          </cell>
        </row>
        <row r="11">
          <cell r="B11" t="str">
            <v>McLaren Frankfurt</v>
          </cell>
          <cell r="H11">
            <v>60386</v>
          </cell>
        </row>
        <row r="12">
          <cell r="B12" t="str">
            <v>McLaren Munchen</v>
          </cell>
          <cell r="H12">
            <v>80939</v>
          </cell>
        </row>
        <row r="13">
          <cell r="B13" t="str">
            <v>McLaren Dusseldorf</v>
          </cell>
          <cell r="H13">
            <v>40549</v>
          </cell>
        </row>
        <row r="14">
          <cell r="B14" t="str">
            <v>McLaren Hamburg</v>
          </cell>
          <cell r="H14">
            <v>22419</v>
          </cell>
        </row>
        <row r="15">
          <cell r="B15" t="str">
            <v>McLaren Stuttgart</v>
          </cell>
          <cell r="H15">
            <v>71034</v>
          </cell>
        </row>
        <row r="16">
          <cell r="B16" t="str">
            <v>McLaren Nuernberg</v>
          </cell>
          <cell r="H16">
            <v>90441</v>
          </cell>
        </row>
        <row r="17">
          <cell r="B17" t="str">
            <v>McLaren Paris</v>
          </cell>
          <cell r="H17" t="str">
            <v>75017skysusy</v>
          </cell>
        </row>
        <row r="18">
          <cell r="B18" t="str">
            <v>McLaren Lyon</v>
          </cell>
          <cell r="H18">
            <v>69190</v>
          </cell>
        </row>
        <row r="19">
          <cell r="B19" t="str">
            <v>McLaren Zurich</v>
          </cell>
          <cell r="H19" t="str">
            <v>CH-8152</v>
          </cell>
        </row>
        <row r="20">
          <cell r="B20" t="str">
            <v>McLaren Lugano</v>
          </cell>
          <cell r="H20">
            <v>6593</v>
          </cell>
        </row>
        <row r="21">
          <cell r="B21" t="str">
            <v>McLaren Geneva</v>
          </cell>
          <cell r="H21">
            <v>1260</v>
          </cell>
        </row>
        <row r="22">
          <cell r="B22" t="str">
            <v>McLaren Warsaw</v>
          </cell>
          <cell r="H22" t="str">
            <v>04-175</v>
          </cell>
        </row>
        <row r="23">
          <cell r="B23" t="str">
            <v>McLaren Riga</v>
          </cell>
          <cell r="H23" t="str">
            <v>LV1003</v>
          </cell>
        </row>
        <row r="24">
          <cell r="B24" t="str">
            <v>McLaren Vienna</v>
          </cell>
          <cell r="H24">
            <v>1030</v>
          </cell>
        </row>
        <row r="25">
          <cell r="B25" t="str">
            <v>McLaren Milan</v>
          </cell>
          <cell r="H25">
            <v>20157</v>
          </cell>
        </row>
        <row r="26">
          <cell r="B26" t="str">
            <v>McLaren Monaco</v>
          </cell>
          <cell r="H26">
            <v>98013</v>
          </cell>
        </row>
        <row r="27">
          <cell r="B27" t="str">
            <v>McLaren Brussels</v>
          </cell>
          <cell r="H27">
            <v>1410</v>
          </cell>
        </row>
        <row r="28">
          <cell r="B28" t="str">
            <v>McLaren Utrecht</v>
          </cell>
          <cell r="H28" t="str">
            <v>NL-3543 AC</v>
          </cell>
        </row>
        <row r="29">
          <cell r="B29" t="str">
            <v>McLaren Barcelona</v>
          </cell>
          <cell r="H29">
            <v>8908</v>
          </cell>
        </row>
        <row r="30">
          <cell r="B30" t="str">
            <v>McLaren Eindhoven</v>
          </cell>
          <cell r="H30" t="str">
            <v>5628 CM</v>
          </cell>
        </row>
        <row r="31">
          <cell r="B31" t="str">
            <v>McLaren Malmo</v>
          </cell>
          <cell r="H31" t="str">
            <v>232 37</v>
          </cell>
        </row>
        <row r="32">
          <cell r="B32" t="str">
            <v>McLaren Stockholm</v>
          </cell>
          <cell r="H32" t="str">
            <v>176 76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0AEF-41F8-4557-813B-523C0AC37FD3}">
  <dimension ref="A1:I9"/>
  <sheetViews>
    <sheetView tabSelected="1" workbookViewId="0">
      <selection activeCell="K6" sqref="K6"/>
    </sheetView>
  </sheetViews>
  <sheetFormatPr defaultRowHeight="14.5" x14ac:dyDescent="0.35"/>
  <cols>
    <col min="4" max="4" width="18.26953125" bestFit="1" customWidth="1"/>
    <col min="5" max="5" width="10.453125" bestFit="1" customWidth="1"/>
    <col min="6" max="6" width="23.453125" bestFit="1" customWidth="1"/>
    <col min="7" max="7" width="9.81640625" bestFit="1" customWidth="1"/>
    <col min="8" max="8" width="9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51.415002063293898</v>
      </c>
      <c r="H2">
        <v>-0.73530177760680404</v>
      </c>
      <c r="I2" t="str">
        <f>INDEX([1]EUROPE!$H:$H,MATCH(F2,[1]EUROPE!$B:$B,0))</f>
        <v>RG12 2TB</v>
      </c>
    </row>
    <row r="3" spans="1:9" x14ac:dyDescent="0.35">
      <c r="A3" t="s">
        <v>14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>
        <v>52.350752</v>
      </c>
      <c r="H3">
        <v>-1.77711</v>
      </c>
      <c r="I3" t="str">
        <f>INDEX([1]EUROPE!$H:$H,MATCH(F3,[1]EUROPE!$B:$B,0))</f>
        <v>B94 5NH</v>
      </c>
    </row>
    <row r="4" spans="1:9" x14ac:dyDescent="0.35">
      <c r="A4" t="s">
        <v>17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>
        <v>55.782552000000003</v>
      </c>
      <c r="H4">
        <v>-4.0467269999999997</v>
      </c>
      <c r="I4" t="str">
        <f>INDEX([1]EUROPE!$H:$H,MATCH(F4,[1]EUROPE!$B:$B,0))</f>
        <v>ML3 0AY</v>
      </c>
    </row>
    <row r="5" spans="1:9" x14ac:dyDescent="0.35">
      <c r="A5" t="s">
        <v>20</v>
      </c>
      <c r="B5" t="s">
        <v>9</v>
      </c>
      <c r="C5" t="s">
        <v>10</v>
      </c>
      <c r="D5" t="s">
        <v>21</v>
      </c>
      <c r="E5" t="s">
        <v>22</v>
      </c>
      <c r="F5" t="s">
        <v>23</v>
      </c>
      <c r="G5">
        <v>51.262649000000003</v>
      </c>
      <c r="H5">
        <v>-0.56512600000000002</v>
      </c>
      <c r="I5" t="s">
        <v>37</v>
      </c>
    </row>
    <row r="6" spans="1:9" x14ac:dyDescent="0.35">
      <c r="A6" t="s">
        <v>24</v>
      </c>
      <c r="B6" t="s">
        <v>9</v>
      </c>
      <c r="C6" t="s">
        <v>10</v>
      </c>
      <c r="D6" t="s">
        <v>11</v>
      </c>
      <c r="E6" t="s">
        <v>25</v>
      </c>
      <c r="F6" t="s">
        <v>26</v>
      </c>
      <c r="G6">
        <v>51.761609</v>
      </c>
      <c r="H6">
        <v>-0.243953</v>
      </c>
      <c r="I6" t="str">
        <f>INDEX([1]EUROPE!$H:$H,MATCH(F6,[1]EUROPE!$B:$B,0))</f>
        <v>AL10 9US</v>
      </c>
    </row>
    <row r="7" spans="1:9" x14ac:dyDescent="0.35">
      <c r="A7" t="s">
        <v>27</v>
      </c>
      <c r="B7" t="s">
        <v>9</v>
      </c>
      <c r="C7" t="s">
        <v>10</v>
      </c>
      <c r="D7" t="s">
        <v>11</v>
      </c>
      <c r="E7" t="s">
        <v>28</v>
      </c>
      <c r="F7" t="s">
        <v>29</v>
      </c>
      <c r="G7">
        <v>53.779032999999998</v>
      </c>
      <c r="H7">
        <v>-1.4797899999999999</v>
      </c>
      <c r="I7" t="str">
        <f>INDEX([1]EUROPE!$H:$H,MATCH(F7,[1]EUROPE!$B:$B,0))</f>
        <v>LS9 0AA</v>
      </c>
    </row>
    <row r="8" spans="1:9" x14ac:dyDescent="0.35">
      <c r="A8" t="s">
        <v>30</v>
      </c>
      <c r="B8" t="s">
        <v>9</v>
      </c>
      <c r="C8" t="s">
        <v>10</v>
      </c>
      <c r="D8" t="s">
        <v>11</v>
      </c>
      <c r="E8" t="s">
        <v>31</v>
      </c>
      <c r="F8" t="s">
        <v>32</v>
      </c>
      <c r="G8">
        <v>53.344988999999998</v>
      </c>
      <c r="H8">
        <v>-2.2159900000000001</v>
      </c>
      <c r="I8" t="str">
        <f>INDEX([1]EUROPE!$H:$H,MATCH(F8,[1]EUROPE!$B:$B,0))</f>
        <v>SK9 3FB</v>
      </c>
    </row>
    <row r="9" spans="1:9" x14ac:dyDescent="0.35">
      <c r="A9" t="s">
        <v>33</v>
      </c>
      <c r="B9" t="s">
        <v>9</v>
      </c>
      <c r="C9" t="s">
        <v>10</v>
      </c>
      <c r="D9" t="s">
        <v>11</v>
      </c>
      <c r="E9" t="s">
        <v>34</v>
      </c>
      <c r="F9" t="s">
        <v>35</v>
      </c>
      <c r="G9">
        <v>50.946629000000001</v>
      </c>
      <c r="H9">
        <v>-1.620377</v>
      </c>
      <c r="I9" t="str">
        <f>INDEX([1]EUROPE!$H:$H,MATCH(F9,[1]EUROPE!$B:$B,0))</f>
        <v>SO43 7JF</v>
      </c>
    </row>
  </sheetData>
  <pageMargins left="0.7" right="0.7" top="0.75" bottom="0.75" header="0.3" footer="0.3"/>
  <headerFooter>
    <oddHeader>&amp;C&amp;"Aptos"&amp;12&amp;K008000 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Douglas, Matthew</dc:creator>
  <cp:lastModifiedBy>Douglas, Matthew</cp:lastModifiedBy>
  <dcterms:created xsi:type="dcterms:W3CDTF">2026-05-02T16:27:38Z</dcterms:created>
  <dcterms:modified xsi:type="dcterms:W3CDTF">2026-06-26T14:31:34Z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c0c953-e80d-4069-9ea6-44fb12ad18b3_Enabled">
    <vt:lpwstr>true</vt:lpwstr>
  </property>
  <property fmtid="{D5CDD505-2E9C-101B-9397-08002B2CF9AE}" pid="3" name="MSIP_Label_30c0c953-e80d-4069-9ea6-44fb12ad18b3_SetDate">
    <vt:lpwstr>2026-05-02T16:27:43Z</vt:lpwstr>
  </property>
  <property fmtid="{D5CDD505-2E9C-101B-9397-08002B2CF9AE}" pid="4" name="MSIP_Label_30c0c953-e80d-4069-9ea6-44fb12ad18b3_Method">
    <vt:lpwstr>Standard</vt:lpwstr>
  </property>
  <property fmtid="{D5CDD505-2E9C-101B-9397-08002B2CF9AE}" pid="5" name="MSIP_Label_30c0c953-e80d-4069-9ea6-44fb12ad18b3_Name">
    <vt:lpwstr>Restricted - MAL</vt:lpwstr>
  </property>
  <property fmtid="{D5CDD505-2E9C-101B-9397-08002B2CF9AE}" pid="6" name="MSIP_Label_30c0c953-e80d-4069-9ea6-44fb12ad18b3_SiteId">
    <vt:lpwstr>26583ed4-9ffc-46c2-9d1a-f0ca35a30a8d</vt:lpwstr>
  </property>
  <property fmtid="{D5CDD505-2E9C-101B-9397-08002B2CF9AE}" pid="7" name="MSIP_Label_30c0c953-e80d-4069-9ea6-44fb12ad18b3_ActionId">
    <vt:lpwstr>1355ca02-07ae-4727-8799-59a3bde11a28</vt:lpwstr>
  </property>
  <property fmtid="{D5CDD505-2E9C-101B-9397-08002B2CF9AE}" pid="8" name="MSIP_Label_30c0c953-e80d-4069-9ea6-44fb12ad18b3_ContentBits">
    <vt:lpwstr>1</vt:lpwstr>
  </property>
  <property fmtid="{D5CDD505-2E9C-101B-9397-08002B2CF9AE}" pid="9" name="MSIP_Label_30c0c953-e80d-4069-9ea6-44fb12ad18b3_Tag">
    <vt:lpwstr>10, 1, 2, 1</vt:lpwstr>
  </property>
</Properties>
</file>